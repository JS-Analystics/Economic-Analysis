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JacobStank\Documents\Unterrichtsmaterialien\Unterrichtsmaterialien\06. Abschlussprojekt\"/>
    </mc:Choice>
  </mc:AlternateContent>
  <xr:revisionPtr revIDLastSave="0" documentId="13_ncr:1_{79BB0E62-8E71-47BA-89C3-B6A883C6DCB8}" xr6:coauthVersionLast="47" xr6:coauthVersionMax="47" xr10:uidLastSave="{00000000-0000-0000-0000-000000000000}"/>
  <bookViews>
    <workbookView xWindow="-108" yWindow="-108" windowWidth="23256" windowHeight="12456" activeTab="1" xr2:uid="{AA41AEF3-30B8-4F5B-BD5F-E5EAD26F8E1A}"/>
  </bookViews>
  <sheets>
    <sheet name="Dataset Quellen" sheetId="1" r:id="rId1"/>
    <sheet name="Präsentation Zusätzliche Quelle" sheetId="2" r:id="rId2"/>
    <sheet name="Aussagen Quellen"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1" i="2" l="1"/>
  <c r="M2" i="2"/>
  <c r="L2" i="2"/>
  <c r="I2" i="2"/>
</calcChain>
</file>

<file path=xl/sharedStrings.xml><?xml version="1.0" encoding="utf-8"?>
<sst xmlns="http://schemas.openxmlformats.org/spreadsheetml/2006/main" count="117" uniqueCount="103">
  <si>
    <t>Money_Market_Interest_Rate</t>
  </si>
  <si>
    <t>Eurostats</t>
  </si>
  <si>
    <t>irt_st_a</t>
  </si>
  <si>
    <t>Dataset</t>
  </si>
  <si>
    <t>Quelle - Plattform</t>
  </si>
  <si>
    <t>Quelle - Kürzel / Link</t>
  </si>
  <si>
    <t>tipsna40</t>
  </si>
  <si>
    <t>Real GDP (2015) per Capita</t>
  </si>
  <si>
    <t>Imports as Percentage of GDP</t>
  </si>
  <si>
    <t>tet00004</t>
  </si>
  <si>
    <t>Foreign_Value_Added</t>
  </si>
  <si>
    <t>naio_10_fgfoee</t>
  </si>
  <si>
    <t>HICP</t>
  </si>
  <si>
    <t>tec00118</t>
  </si>
  <si>
    <t>HICP Contribution to Inflation EA in PP</t>
  </si>
  <si>
    <t>prc_hicp_ctr</t>
  </si>
  <si>
    <t>fx_annual</t>
  </si>
  <si>
    <t>ECB &amp; Yahoo Finance</t>
  </si>
  <si>
    <t>API Schnittstellen</t>
  </si>
  <si>
    <t>OECD Wages Data</t>
  </si>
  <si>
    <t>OECD</t>
  </si>
  <si>
    <t>https://data-explorer.oecd.org/vis?pg=0&amp;snb=115&amp;tm=wages&amp;vw=tb&amp;df[ds]=dsDisseminateFinalDMZ&amp;df[id]=DSD_EARNINGS%40AV_AN_WAGE&amp;df[ag]=OECD.ELS.SAE&amp;df[vs]=1.0&amp;dq=......&amp;pd=2000%2C&amp;to[TIME_PERIOD]=false</t>
  </si>
  <si>
    <t>tec00132</t>
  </si>
  <si>
    <t>Investments</t>
  </si>
  <si>
    <t>gov_10a_exp</t>
  </si>
  <si>
    <t>Government_Spending</t>
  </si>
  <si>
    <t>Consumption</t>
  </si>
  <si>
    <t>tec00134</t>
  </si>
  <si>
    <t>nama_10_gdp</t>
  </si>
  <si>
    <t>GDP_Components</t>
  </si>
  <si>
    <t>Labor</t>
  </si>
  <si>
    <t>nama_10_a10_e</t>
  </si>
  <si>
    <t>Job Vacancies</t>
  </si>
  <si>
    <t>demo_pjan</t>
  </si>
  <si>
    <t>Population</t>
  </si>
  <si>
    <t>jvs_q_nace2</t>
  </si>
  <si>
    <t>BIP Deflator</t>
  </si>
  <si>
    <t>https://www.iea.org/about/oil-security-and-emergency-response/strait-of-hormuz</t>
  </si>
  <si>
    <t>Q1</t>
  </si>
  <si>
    <t>Quellenverzeichnis</t>
  </si>
  <si>
    <t>Quelle / Link</t>
  </si>
  <si>
    <t>Berechnung Öl nach Europa nach Q1</t>
  </si>
  <si>
    <t>Maximum via pipelines nach Q1</t>
  </si>
  <si>
    <t>3.5 bis 5.5 mb/d</t>
  </si>
  <si>
    <t>Anteil Öl Welthandel</t>
  </si>
  <si>
    <t>Anteil Öl EU Importe</t>
  </si>
  <si>
    <t>https://www.aa.com.tr/en/economy/around-70-of-global-oil-demand-transported-through-strategic-maritime-chokepoints/3857495</t>
  </si>
  <si>
    <t>Q2</t>
  </si>
  <si>
    <t>70% des Öls fließt durch strategische checkpoints und das sind über 90% des Schiffhandels [Q2], 25% Des Öl Schiffhandels fließt durch die Straße von Hormouz [Q1], Daher Berechnung Straße von Hourmuz Anteil gesamten Weltölhandels inklusive Pipelines und anderen Transport</t>
  </si>
  <si>
    <t>20% LNG [Q1]</t>
  </si>
  <si>
    <t>https://www.ifo.de/en/press-release/2026-03-05/blockade-of-the-strait-of-hormuz-affects-imports-eu-directly-and-indirectly</t>
  </si>
  <si>
    <t>Q3</t>
  </si>
  <si>
    <t>6.2% [Q3]</t>
  </si>
  <si>
    <t>8.7% LNG [Q3]</t>
  </si>
  <si>
    <t>Q4</t>
  </si>
  <si>
    <t>https://ec.europa.eu/eurostat/en/web/products-eurostat-news/w/ddn-20230328-1</t>
  </si>
  <si>
    <t>27.5% [Q4]</t>
  </si>
  <si>
    <t>Straße Hormuz 2025</t>
  </si>
  <si>
    <t>Russland 2021</t>
  </si>
  <si>
    <t>Russland 2022</t>
  </si>
  <si>
    <t>12% [Q4]</t>
  </si>
  <si>
    <t>Q5</t>
  </si>
  <si>
    <t>https://www.reuters.com/business/energy/russias-pipeline-gas-lng-exports-2026-03-05/</t>
  </si>
  <si>
    <t>21% LNG [Q5]</t>
  </si>
  <si>
    <t>Anteil Erdgas Pipeline EU</t>
  </si>
  <si>
    <t>-</t>
  </si>
  <si>
    <t>https://www.consilium.europa.eu/de/infographics/where-does-the-eu-s-gas-come-from/</t>
  </si>
  <si>
    <t>Q6</t>
  </si>
  <si>
    <t>44% [Q6]</t>
  </si>
  <si>
    <t>Q7</t>
  </si>
  <si>
    <t>https://www.dihk.de/resource/blob/153732/78d559d92ab0856f243197206ca92e45/energie-globaler-gasmarkt-data.pdf</t>
  </si>
  <si>
    <t>Gesamtgasimporte EU</t>
  </si>
  <si>
    <t>2021 kamen 75% der Gasimporte in die EU über Pipeline, 40% aller Gasimporte aus Russland [Q7 S.7]</t>
  </si>
  <si>
    <t>40% [Q7 S.7]</t>
  </si>
  <si>
    <t>Erdgas Weltweit</t>
  </si>
  <si>
    <t>17.78% [Q7 S.7]</t>
  </si>
  <si>
    <t>Anteil LNG Welthandel</t>
  </si>
  <si>
    <t>Anteil LNG EU Importe</t>
  </si>
  <si>
    <t>https://www.iea.org/countries/russia</t>
  </si>
  <si>
    <t>Q8</t>
  </si>
  <si>
    <t>Q9</t>
  </si>
  <si>
    <t>Aussagennummer</t>
  </si>
  <si>
    <t>Aussage</t>
  </si>
  <si>
    <t>Quelle</t>
  </si>
  <si>
    <t>A1</t>
  </si>
  <si>
    <t>https://commoditieshub.ch/en/2024/10/02/understanding-force-majeure-in-commodity-trading-a-beginners-guide/</t>
  </si>
  <si>
    <t>Bei Lieferungsbindenden Verträgen bei international gehandelten Rohstoffen muss der Verkäufer keinen finanziellen Ausgleich tätigen, sofern eine höhere Gewalt die Lieferung des Rohstoffes beeinträchtigt. Die Regel nennt sich Force Majour</t>
  </si>
  <si>
    <t>A2</t>
  </si>
  <si>
    <t>https://link.springer.com/chapter/10.1007/978-3-030-86884-0_18</t>
  </si>
  <si>
    <t xml:space="preserve"> The Palgrave Handbook of International Energy Economics - The Trading and Price Discovery for Crude Oils</t>
  </si>
  <si>
    <t>A2.2</t>
  </si>
  <si>
    <t>Die drei Benchmarks sind  WTI, Brent und Dubai</t>
  </si>
  <si>
    <t>Der Preis für Öl auf dem Weltmarkt wird an drei verschiednene Benchmarks fesstgemacht, welche sich an Börsen weltweit orientieren. In jedem Fall wird der Preis für physisch gehandeltes Öl auch von Derivaten getrieben, die wiederum von Spekulationen abhängig sind</t>
  </si>
  <si>
    <t>https://www.eia.gov/todayinenergy/detail.php?id=55021</t>
  </si>
  <si>
    <t>https://www.brecorder.com/news/40156120/2021-global-lng-trade-rises-6pc-to-380-million-tonnes</t>
  </si>
  <si>
    <t>Q10</t>
  </si>
  <si>
    <t>2021 wurden Weltweit 380 Millionen Tonnen LNG gehandelt [Q10]</t>
  </si>
  <si>
    <t>5.4% LNG [Q9, Q10]</t>
  </si>
  <si>
    <t>Q11</t>
  </si>
  <si>
    <t>https://www.gecf.org/Portals/0/xBlog/uploads/2026/3/31/GECFAGMR2026-PUBLICVERSION.pdf</t>
  </si>
  <si>
    <t>2021 wurden Weltweit 695 BCM Pipelined Erdgas gehandelt [Q11 Gas Trade]. Das entspricht 24.5 TCF</t>
  </si>
  <si>
    <t>2021 hat Russland 8.9 TCF Erdgas via Pipeline und LNG exportiert, davon 84% Pipeline [Q9] =&gt; 1.424 Trillion TCF LNG Exports Weltweit, das entspricht etwa 28,48 Millionen Tonnen, 7.476 TCF Erdgas Exporte Weltweit, das entspricht etwa 30.5%</t>
  </si>
  <si>
    <t>1.715 mrd barrel hat Russland 2021 Exportiert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</si>
</sst>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1"/>
      <color theme="1"/>
      <name val="Aptos Narrow"/>
      <family val="2"/>
      <scheme val="minor"/>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3">
    <xf numFmtId="0" fontId="0" fillId="0" borderId="0"/>
    <xf numFmtId="9" fontId="1" fillId="0" borderId="0" applyFont="0" applyFill="0" applyBorder="0" applyAlignment="0" applyProtection="0"/>
    <xf numFmtId="0" fontId="2" fillId="0" borderId="0" applyNumberFormat="0" applyFill="0" applyBorder="0" applyAlignment="0" applyProtection="0"/>
  </cellStyleXfs>
  <cellXfs count="6">
    <xf numFmtId="0" fontId="0" fillId="0" borderId="0" xfId="0"/>
    <xf numFmtId="0" fontId="2" fillId="0" borderId="0" xfId="2"/>
    <xf numFmtId="10" fontId="0" fillId="0" borderId="0" xfId="1" applyNumberFormat="1" applyFont="1"/>
    <xf numFmtId="0" fontId="0" fillId="0" borderId="0" xfId="0" applyAlignment="1">
      <alignment horizontal="center"/>
    </xf>
    <xf numFmtId="9" fontId="0" fillId="0" borderId="0" xfId="0" applyNumberFormat="1"/>
    <xf numFmtId="10" fontId="0" fillId="0" borderId="0" xfId="0" applyNumberFormat="1"/>
  </cellXfs>
  <cellStyles count="3">
    <cellStyle name="Link" xfId="2" builtinId="8"/>
    <cellStyle name="Prozent" xfId="1" builtinId="5"/>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data-explorer.oecd.org/vis?pg=0&amp;snb=115&amp;tm=wages&amp;vw=tb&amp;df%5bds%5d=dsDisseminateFinalDMZ&amp;df%5bid%5d=DSD_EARNINGS%40AV_AN_WAGE&amp;df%5bag%5d=OECD.ELS.SAE&amp;df%5bvs%5d=1.0&amp;dq=......&amp;pd=2000%2C&amp;to%5bTIME_PERIOD%5d=false"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www.eia.gov/todayinenergy/detail.php?id=55021" TargetMode="External"/><Relationship Id="rId3" Type="http://schemas.openxmlformats.org/officeDocument/2006/relationships/hyperlink" Target="https://ec.europa.eu/eurostat/en/web/products-eurostat-news/w/ddn-20230328-1" TargetMode="External"/><Relationship Id="rId7" Type="http://schemas.openxmlformats.org/officeDocument/2006/relationships/hyperlink" Target="https://www.iea.org/countries/russia" TargetMode="External"/><Relationship Id="rId2" Type="http://schemas.openxmlformats.org/officeDocument/2006/relationships/hyperlink" Target="https://www.ifo.de/en/press-release/2026-03-05/blockade-of-the-strait-of-hormuz-affects-imports-eu-directly-and-indirectly" TargetMode="External"/><Relationship Id="rId1" Type="http://schemas.openxmlformats.org/officeDocument/2006/relationships/hyperlink" Target="https://www.aa.com.tr/en/economy/around-70-of-global-oil-demand-transported-through-strategic-maritime-chokepoints/3857495" TargetMode="External"/><Relationship Id="rId6" Type="http://schemas.openxmlformats.org/officeDocument/2006/relationships/hyperlink" Target="https://www.dihk.de/resource/blob/153732/78d559d92ab0856f243197206ca92e45/energie-globaler-gasmarkt-data.pdf" TargetMode="External"/><Relationship Id="rId5" Type="http://schemas.openxmlformats.org/officeDocument/2006/relationships/hyperlink" Target="https://www.consilium.europa.eu/de/infographics/where-does-the-eu-s-gas-come-from/" TargetMode="External"/><Relationship Id="rId10" Type="http://schemas.openxmlformats.org/officeDocument/2006/relationships/hyperlink" Target="https://www.gecf.org/Portals/0/xBlog/uploads/2026/3/31/GECFAGMR2026-PUBLICVERSION.pdf" TargetMode="External"/><Relationship Id="rId4" Type="http://schemas.openxmlformats.org/officeDocument/2006/relationships/hyperlink" Target="https://www.reuters.com/business/energy/russias-pipeline-gas-lng-exports-2026-03-05/" TargetMode="External"/><Relationship Id="rId9" Type="http://schemas.openxmlformats.org/officeDocument/2006/relationships/hyperlink" Target="https://www.brecorder.com/news/40156120/2021-global-lng-trade-rises-6pc-to-380-million-tonnes" TargetMode="External"/></Relationships>
</file>

<file path=xl/worksheets/_rels/sheet3.xml.rels><?xml version="1.0" encoding="UTF-8" standalone="yes"?>
<Relationships xmlns="http://schemas.openxmlformats.org/package/2006/relationships"><Relationship Id="rId2" Type="http://schemas.openxmlformats.org/officeDocument/2006/relationships/hyperlink" Target="https://link.springer.com/chapter/10.1007/978-3-030-86884-0_18" TargetMode="External"/><Relationship Id="rId1" Type="http://schemas.openxmlformats.org/officeDocument/2006/relationships/hyperlink" Target="https://commoditieshub.ch/en/2024/10/02/understanding-force-majeure-in-commodity-trading-a-beginners-guid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D1AB19-C3D5-4F8F-99B2-329A9B0918AC}">
  <dimension ref="A1:C18"/>
  <sheetViews>
    <sheetView workbookViewId="0">
      <selection activeCell="E19" sqref="E19"/>
    </sheetView>
  </sheetViews>
  <sheetFormatPr baseColWidth="10" defaultRowHeight="14.4" x14ac:dyDescent="0.3"/>
  <cols>
    <col min="1" max="1" width="31.109375" bestFit="1" customWidth="1"/>
    <col min="2" max="2" width="18.109375" bestFit="1" customWidth="1"/>
    <col min="3" max="3" width="17.109375" bestFit="1" customWidth="1"/>
  </cols>
  <sheetData>
    <row r="1" spans="1:3" x14ac:dyDescent="0.3">
      <c r="A1" t="s">
        <v>3</v>
      </c>
      <c r="B1" t="s">
        <v>4</v>
      </c>
      <c r="C1" t="s">
        <v>5</v>
      </c>
    </row>
    <row r="2" spans="1:3" x14ac:dyDescent="0.3">
      <c r="A2" t="s">
        <v>0</v>
      </c>
      <c r="B2" t="s">
        <v>1</v>
      </c>
      <c r="C2" t="s">
        <v>2</v>
      </c>
    </row>
    <row r="3" spans="1:3" x14ac:dyDescent="0.3">
      <c r="A3" t="s">
        <v>7</v>
      </c>
      <c r="B3" t="s">
        <v>1</v>
      </c>
      <c r="C3" t="s">
        <v>6</v>
      </c>
    </row>
    <row r="4" spans="1:3" x14ac:dyDescent="0.3">
      <c r="A4" t="s">
        <v>8</v>
      </c>
      <c r="B4" t="s">
        <v>1</v>
      </c>
      <c r="C4" t="s">
        <v>9</v>
      </c>
    </row>
    <row r="5" spans="1:3" x14ac:dyDescent="0.3">
      <c r="A5" t="s">
        <v>10</v>
      </c>
      <c r="B5" t="s">
        <v>1</v>
      </c>
      <c r="C5" t="s">
        <v>11</v>
      </c>
    </row>
    <row r="6" spans="1:3" x14ac:dyDescent="0.3">
      <c r="A6" t="s">
        <v>12</v>
      </c>
      <c r="B6" t="s">
        <v>1</v>
      </c>
      <c r="C6" t="s">
        <v>13</v>
      </c>
    </row>
    <row r="7" spans="1:3" x14ac:dyDescent="0.3">
      <c r="A7" t="s">
        <v>14</v>
      </c>
      <c r="B7" t="s">
        <v>1</v>
      </c>
      <c r="C7" t="s">
        <v>15</v>
      </c>
    </row>
    <row r="8" spans="1:3" x14ac:dyDescent="0.3">
      <c r="A8" t="s">
        <v>16</v>
      </c>
      <c r="B8" t="s">
        <v>17</v>
      </c>
      <c r="C8" t="s">
        <v>18</v>
      </c>
    </row>
    <row r="9" spans="1:3" x14ac:dyDescent="0.3">
      <c r="A9" t="s">
        <v>19</v>
      </c>
      <c r="B9" t="s">
        <v>20</v>
      </c>
      <c r="C9" s="1" t="s">
        <v>21</v>
      </c>
    </row>
    <row r="10" spans="1:3" x14ac:dyDescent="0.3">
      <c r="A10" t="s">
        <v>23</v>
      </c>
      <c r="B10" t="s">
        <v>1</v>
      </c>
      <c r="C10" t="s">
        <v>22</v>
      </c>
    </row>
    <row r="11" spans="1:3" x14ac:dyDescent="0.3">
      <c r="A11" t="s">
        <v>25</v>
      </c>
      <c r="B11" t="s">
        <v>1</v>
      </c>
      <c r="C11" t="s">
        <v>24</v>
      </c>
    </row>
    <row r="12" spans="1:3" x14ac:dyDescent="0.3">
      <c r="A12" t="s">
        <v>26</v>
      </c>
      <c r="B12" t="s">
        <v>1</v>
      </c>
      <c r="C12" t="s">
        <v>27</v>
      </c>
    </row>
    <row r="13" spans="1:3" x14ac:dyDescent="0.3">
      <c r="A13" t="s">
        <v>29</v>
      </c>
      <c r="B13" t="s">
        <v>1</v>
      </c>
      <c r="C13" t="s">
        <v>28</v>
      </c>
    </row>
    <row r="14" spans="1:3" x14ac:dyDescent="0.3">
      <c r="A14" t="s">
        <v>30</v>
      </c>
      <c r="B14" t="s">
        <v>1</v>
      </c>
      <c r="C14" t="s">
        <v>31</v>
      </c>
    </row>
    <row r="15" spans="1:3" x14ac:dyDescent="0.3">
      <c r="A15" t="s">
        <v>32</v>
      </c>
      <c r="B15" t="s">
        <v>1</v>
      </c>
      <c r="C15" t="s">
        <v>35</v>
      </c>
    </row>
    <row r="16" spans="1:3" x14ac:dyDescent="0.3">
      <c r="A16" t="s">
        <v>34</v>
      </c>
      <c r="B16" t="s">
        <v>1</v>
      </c>
      <c r="C16" t="s">
        <v>33</v>
      </c>
    </row>
    <row r="17" spans="1:3" x14ac:dyDescent="0.3">
      <c r="A17" t="s">
        <v>36</v>
      </c>
      <c r="B17" t="s">
        <v>1</v>
      </c>
      <c r="C17" t="s">
        <v>28</v>
      </c>
    </row>
    <row r="18" spans="1:3" x14ac:dyDescent="0.3">
      <c r="C18" s="1"/>
    </row>
  </sheetData>
  <hyperlinks>
    <hyperlink ref="C9" r:id="rId1" xr:uid="{CE4CE548-39FF-4C18-A804-007C4AD4CAA9}"/>
  </hyperlinks>
  <pageMargins left="0.7" right="0.7" top="0.78740157499999996" bottom="0.78740157499999996"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CF05D-C6F4-466F-8969-5764336F41B8}">
  <dimension ref="A1:M18"/>
  <sheetViews>
    <sheetView tabSelected="1" workbookViewId="0">
      <selection activeCell="I13" sqref="I13"/>
    </sheetView>
  </sheetViews>
  <sheetFormatPr baseColWidth="10" defaultRowHeight="14.4" x14ac:dyDescent="0.3"/>
  <cols>
    <col min="1" max="1" width="16.33203125" bestFit="1" customWidth="1"/>
    <col min="9" max="9" width="20.21875" customWidth="1"/>
    <col min="10" max="10" width="17.5546875" customWidth="1"/>
    <col min="11" max="11" width="12.77734375" customWidth="1"/>
    <col min="12" max="12" width="12.44140625" customWidth="1"/>
  </cols>
  <sheetData>
    <row r="1" spans="1:13" x14ac:dyDescent="0.3">
      <c r="A1" t="s">
        <v>39</v>
      </c>
      <c r="B1" t="s">
        <v>40</v>
      </c>
      <c r="I1" t="s">
        <v>41</v>
      </c>
      <c r="L1" t="s">
        <v>42</v>
      </c>
      <c r="M1" t="s">
        <v>43</v>
      </c>
    </row>
    <row r="2" spans="1:13" x14ac:dyDescent="0.3">
      <c r="A2" t="s">
        <v>38</v>
      </c>
      <c r="B2" t="s">
        <v>37</v>
      </c>
      <c r="I2">
        <f xml:space="preserve"> 0.6/(0.5 + 0.6 + 4.6 + 2.1 + 6.2 + 0.2)</f>
        <v>4.2253521126760563E-2</v>
      </c>
      <c r="L2">
        <f>3.5/(0.5 + 0.6 + 4.6 + 2.1 + 6.2 + 0.2)</f>
        <v>0.24647887323943662</v>
      </c>
      <c r="M2">
        <f>5.5/(0.5 + 0.6 + 4.6 + 2.1 + 6.2 + 0.2)</f>
        <v>0.38732394366197187</v>
      </c>
    </row>
    <row r="3" spans="1:13" x14ac:dyDescent="0.3">
      <c r="A3" t="s">
        <v>47</v>
      </c>
      <c r="B3" s="1" t="s">
        <v>46</v>
      </c>
    </row>
    <row r="4" spans="1:13" x14ac:dyDescent="0.3">
      <c r="A4" t="s">
        <v>51</v>
      </c>
      <c r="B4" s="1" t="s">
        <v>50</v>
      </c>
    </row>
    <row r="5" spans="1:13" x14ac:dyDescent="0.3">
      <c r="A5" t="s">
        <v>54</v>
      </c>
      <c r="B5" s="1" t="s">
        <v>55</v>
      </c>
      <c r="J5" t="s">
        <v>57</v>
      </c>
      <c r="K5" t="s">
        <v>58</v>
      </c>
      <c r="L5" t="s">
        <v>59</v>
      </c>
    </row>
    <row r="6" spans="1:13" x14ac:dyDescent="0.3">
      <c r="A6" t="s">
        <v>61</v>
      </c>
      <c r="B6" s="1" t="s">
        <v>62</v>
      </c>
      <c r="I6" t="s">
        <v>76</v>
      </c>
      <c r="J6" t="s">
        <v>49</v>
      </c>
      <c r="K6" s="5" t="s">
        <v>97</v>
      </c>
    </row>
    <row r="7" spans="1:13" x14ac:dyDescent="0.3">
      <c r="A7" t="s">
        <v>67</v>
      </c>
      <c r="B7" s="1" t="s">
        <v>66</v>
      </c>
      <c r="I7" t="s">
        <v>77</v>
      </c>
      <c r="J7" t="s">
        <v>53</v>
      </c>
      <c r="K7" t="s">
        <v>63</v>
      </c>
    </row>
    <row r="8" spans="1:13" x14ac:dyDescent="0.3">
      <c r="A8" t="s">
        <v>69</v>
      </c>
      <c r="B8" s="1" t="s">
        <v>70</v>
      </c>
      <c r="I8" t="s">
        <v>74</v>
      </c>
      <c r="K8" s="5" t="s">
        <v>75</v>
      </c>
    </row>
    <row r="9" spans="1:13" x14ac:dyDescent="0.3">
      <c r="A9" t="s">
        <v>79</v>
      </c>
      <c r="B9" s="1" t="s">
        <v>78</v>
      </c>
      <c r="I9" t="s">
        <v>64</v>
      </c>
      <c r="J9" s="3" t="s">
        <v>65</v>
      </c>
      <c r="K9" s="4" t="s">
        <v>68</v>
      </c>
    </row>
    <row r="10" spans="1:13" x14ac:dyDescent="0.3">
      <c r="A10" t="s">
        <v>80</v>
      </c>
      <c r="B10" s="1" t="s">
        <v>93</v>
      </c>
      <c r="I10" t="s">
        <v>71</v>
      </c>
      <c r="J10" s="3"/>
      <c r="K10" s="4" t="s">
        <v>73</v>
      </c>
    </row>
    <row r="11" spans="1:13" x14ac:dyDescent="0.3">
      <c r="A11" t="s">
        <v>95</v>
      </c>
      <c r="B11" s="1" t="s">
        <v>94</v>
      </c>
      <c r="I11" t="s">
        <v>44</v>
      </c>
      <c r="J11" s="2">
        <f>0.7*0.9*0.25</f>
        <v>0.1575</v>
      </c>
    </row>
    <row r="12" spans="1:13" x14ac:dyDescent="0.3">
      <c r="A12" t="s">
        <v>98</v>
      </c>
      <c r="B12" s="1" t="s">
        <v>99</v>
      </c>
      <c r="I12" t="s">
        <v>45</v>
      </c>
      <c r="J12" t="s">
        <v>52</v>
      </c>
      <c r="K12" t="s">
        <v>56</v>
      </c>
      <c r="L12" t="s">
        <v>60</v>
      </c>
    </row>
    <row r="13" spans="1:13" x14ac:dyDescent="0.3">
      <c r="J13" t="s">
        <v>48</v>
      </c>
    </row>
    <row r="14" spans="1:13" x14ac:dyDescent="0.3">
      <c r="J14" t="s">
        <v>72</v>
      </c>
    </row>
    <row r="15" spans="1:13" x14ac:dyDescent="0.3">
      <c r="J15" t="s">
        <v>101</v>
      </c>
    </row>
    <row r="16" spans="1:13" x14ac:dyDescent="0.3">
      <c r="J16" t="s">
        <v>96</v>
      </c>
    </row>
    <row r="17" spans="10:10" x14ac:dyDescent="0.3">
      <c r="J17" t="s">
        <v>100</v>
      </c>
    </row>
    <row r="18" spans="10:10" x14ac:dyDescent="0.3">
      <c r="J18" t="s">
        <v>102</v>
      </c>
    </row>
  </sheetData>
  <hyperlinks>
    <hyperlink ref="B3" r:id="rId1" xr:uid="{DF391B19-1D45-4861-815E-0200A67849FA}"/>
    <hyperlink ref="B4" r:id="rId2" xr:uid="{56D5E5B2-3476-4E80-801B-7093B5AB199A}"/>
    <hyperlink ref="B5" r:id="rId3" xr:uid="{CF7940C1-9D6D-4333-A07F-E99F77A546D9}"/>
    <hyperlink ref="B6" r:id="rId4" xr:uid="{C71C043A-5BC9-46CE-99F5-7748A01E7CC7}"/>
    <hyperlink ref="B7" r:id="rId5" xr:uid="{9CED99A6-2073-4839-9BD8-D46F034917A0}"/>
    <hyperlink ref="B8" r:id="rId6" xr:uid="{B1AAD1F7-0064-4872-A6BE-46A322D3C83F}"/>
    <hyperlink ref="B9" r:id="rId7" xr:uid="{252DDB69-494D-40CE-8C28-965AAAA32186}"/>
    <hyperlink ref="B10" r:id="rId8" xr:uid="{2F3E8FEF-EFEE-4B7A-ADDA-ACD3D5C9B210}"/>
    <hyperlink ref="B11" r:id="rId9" xr:uid="{14B6F993-6918-4087-807A-6D430CE03EBB}"/>
    <hyperlink ref="B12" r:id="rId10" xr:uid="{910AED58-0A3D-4073-A7CD-FE489D1BB115}"/>
  </hyperlinks>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A9F52F-E10F-4952-928B-DC08A0526378}">
  <dimension ref="A1:D4"/>
  <sheetViews>
    <sheetView workbookViewId="0">
      <selection activeCell="A5" sqref="A5"/>
    </sheetView>
  </sheetViews>
  <sheetFormatPr baseColWidth="10" defaultRowHeight="14.4" x14ac:dyDescent="0.3"/>
  <sheetData>
    <row r="1" spans="1:4" x14ac:dyDescent="0.3">
      <c r="A1" t="s">
        <v>81</v>
      </c>
      <c r="B1" t="s">
        <v>82</v>
      </c>
      <c r="C1" t="s">
        <v>83</v>
      </c>
    </row>
    <row r="2" spans="1:4" x14ac:dyDescent="0.3">
      <c r="A2" t="s">
        <v>84</v>
      </c>
      <c r="B2" t="s">
        <v>86</v>
      </c>
      <c r="C2" s="1" t="s">
        <v>85</v>
      </c>
    </row>
    <row r="3" spans="1:4" x14ac:dyDescent="0.3">
      <c r="A3" t="s">
        <v>87</v>
      </c>
      <c r="B3" t="s">
        <v>92</v>
      </c>
      <c r="C3" s="1" t="s">
        <v>88</v>
      </c>
      <c r="D3" t="s">
        <v>89</v>
      </c>
    </row>
    <row r="4" spans="1:4" x14ac:dyDescent="0.3">
      <c r="A4" t="s">
        <v>90</v>
      </c>
      <c r="B4" t="s">
        <v>91</v>
      </c>
    </row>
  </sheetData>
  <hyperlinks>
    <hyperlink ref="C2" r:id="rId1" xr:uid="{958FAE32-57FE-4853-BD82-3A5DA3BFC62E}"/>
    <hyperlink ref="C3" r:id="rId2" xr:uid="{7E63BFB0-9687-4CFF-A3E0-3D79C23CFE39}"/>
  </hyperlinks>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3</vt:i4>
      </vt:variant>
    </vt:vector>
  </HeadingPairs>
  <TitlesOfParts>
    <vt:vector size="3" baseType="lpstr">
      <vt:lpstr>Dataset Quellen</vt:lpstr>
      <vt:lpstr>Präsentation Zusätzliche Quelle</vt:lpstr>
      <vt:lpstr>Aussagen Quellen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Jacob Stank</dc:creator>
  <cp:lastModifiedBy>Jacob Stank</cp:lastModifiedBy>
  <dcterms:created xsi:type="dcterms:W3CDTF">2026-04-16T11:02:57Z</dcterms:created>
  <dcterms:modified xsi:type="dcterms:W3CDTF">2026-04-29T21:25:48Z</dcterms:modified>
</cp:coreProperties>
</file>